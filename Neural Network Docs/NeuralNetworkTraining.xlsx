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Neural Network Docs\"/>
    </mc:Choice>
  </mc:AlternateContent>
  <xr:revisionPtr revIDLastSave="0" documentId="8_{F1D068D9-4FFA-4DC3-ACED-D2C8ABCC258A}" xr6:coauthVersionLast="47" xr6:coauthVersionMax="47" xr10:uidLastSave="{00000000-0000-0000-0000-000000000000}"/>
  <bookViews>
    <workbookView xWindow="-108" yWindow="-108" windowWidth="23256" windowHeight="12456" xr2:uid="{30EC8FCB-C251-45E9-BEFC-AAD2D9564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" i="1"/>
  <c r="F2" i="1"/>
  <c r="F5" i="1" s="1"/>
  <c r="P12" i="1"/>
  <c r="P13" i="1"/>
  <c r="J12" i="1"/>
  <c r="K12" i="1"/>
  <c r="L12" i="1"/>
  <c r="M12" i="1"/>
  <c r="N12" i="1"/>
  <c r="O12" i="1"/>
  <c r="J13" i="1"/>
  <c r="K13" i="1"/>
  <c r="L13" i="1"/>
  <c r="M13" i="1"/>
  <c r="N13" i="1"/>
  <c r="O13" i="1"/>
  <c r="I13" i="1"/>
  <c r="I12" i="1"/>
  <c r="B7" i="1"/>
  <c r="D7" i="1"/>
  <c r="D8" i="1"/>
  <c r="C8" i="1"/>
  <c r="C7" i="1"/>
  <c r="C9" i="1" s="1"/>
  <c r="B8" i="1"/>
  <c r="F8" i="1" s="1"/>
  <c r="E8" i="1" l="1"/>
  <c r="B9" i="1"/>
  <c r="D9" i="1"/>
</calcChain>
</file>

<file path=xl/sharedStrings.xml><?xml version="1.0" encoding="utf-8"?>
<sst xmlns="http://schemas.openxmlformats.org/spreadsheetml/2006/main" count="26" uniqueCount="23">
  <si>
    <t>Trial</t>
  </si>
  <si>
    <t>Confusion Matrix</t>
  </si>
  <si>
    <t>Class 1</t>
  </si>
  <si>
    <t>Class 2</t>
  </si>
  <si>
    <t>Class 3</t>
  </si>
  <si>
    <t>Actual</t>
  </si>
  <si>
    <t>Predicted</t>
  </si>
  <si>
    <t>Total</t>
  </si>
  <si>
    <t>Median</t>
  </si>
  <si>
    <t>Mean</t>
  </si>
  <si>
    <t>Recall</t>
  </si>
  <si>
    <t>Precision</t>
  </si>
  <si>
    <t>F1</t>
  </si>
  <si>
    <t>Weighted P</t>
  </si>
  <si>
    <t>1 Thread</t>
  </si>
  <si>
    <t>2 Threads</t>
  </si>
  <si>
    <t>4 Threads</t>
  </si>
  <si>
    <t>6 Threads</t>
  </si>
  <si>
    <t>8 Threads</t>
  </si>
  <si>
    <t>12 Threads</t>
  </si>
  <si>
    <t>10 Threads</t>
  </si>
  <si>
    <t>Pytorch</t>
  </si>
  <si>
    <t>Avg 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</si>
</sst>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3" borderId="4" applyNumberFormat="0" applyAlignment="0" applyProtection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</cellStyleXfs>
  <cellXfs count="15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3" xfId="0" applyFill="1" applyBorder="1" applyAlignment="1">
      <alignment wrapText="1"/>
    </xf>
    <xf numFmtId="0" fontId="0" fillId="0" borderId="3" xfId="0" applyBorder="1"/>
    <xf numFmtId="0" fontId="0" fillId="2" borderId="3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3" fillId="4" borderId="1" xfId="0" applyFont="1" applyFill="1" applyBorder="1"/>
    <xf numFmtId="0" fontId="2" fillId="3" borderId="4" xfId="1"/>
    <xf numFmtId="0" fontId="4" fillId="3" borderId="4" xfId="2" applyFill="1" applyBorder="1"/>
    <xf numFmtId="0" fontId="5" fillId="3" borderId="5" xfId="3" applyFill="1"/>
    <xf numFmtId="0" fontId="0" fillId="2" borderId="1" xfId="0" applyFont="1" applyFill="1" applyBorder="1" applyAlignment="1">
      <alignment wrapText="1"/>
    </xf>
    <xf numFmtId="0" fontId="1" fillId="3" borderId="4" xfId="1" applyFont="1"/>
  </cellXfs>
  <cellStyles count="4">
    <cellStyle name="Calculation" xfId="1" builtinId="22"/>
    <cellStyle name="Explanatory Text" xfId="2" builtinId="53"/>
    <cellStyle name="Normal" xfId="0" builtinId="0"/>
    <cellStyle name="Total" xfId="3" builtinId="2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2BE04-8898-42BA-8EEA-A1B068246F7C}" name="Table1" displayName="Table1" ref="H1:P11" totalsRowShown="0">
  <autoFilter ref="H1:P11" xr:uid="{2ED2BE04-8898-42BA-8EEA-A1B068246F7C}"/>
  <tableColumns count="9">
    <tableColumn id="1" xr3:uid="{CA03CDC0-AC87-4736-BFCB-DDD49F18E731}" name="Trial" dataDxfId="2"/>
    <tableColumn id="2" xr3:uid="{9F7D0E1F-4AC1-49F6-829D-119CA9B7692E}" name="1 Thread" dataDxfId="1"/>
    <tableColumn id="3" xr3:uid="{425D7AB5-E064-402F-AD37-376A98E7462F}" name="2 Threads"/>
    <tableColumn id="4" xr3:uid="{9B5F05C2-06E9-47FD-BA19-A37FF95DEBA2}" name="4 Threads"/>
    <tableColumn id="5" xr3:uid="{496839BB-84CA-43B9-8CC0-1F7968CE2A63}" name="6 Threads"/>
    <tableColumn id="6" xr3:uid="{398850BA-BAD8-4378-BCCC-197B820BD071}" name="8 Threads"/>
    <tableColumn id="7" xr3:uid="{36F373B1-8C7C-4CED-AA1A-2CF8E0662518}" name="10 Threads"/>
    <tableColumn id="8" xr3:uid="{D27BFCDE-F48B-4C4C-AB95-720BD2BB370F}" name="12 Threads" dataDxfId="0"/>
    <tableColumn id="9" xr3:uid="{9AD6A095-7D0A-4620-AE37-6E6B5C74DD55}" name="Pytor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A0B6-41DC-4EF1-B384-FB7E3BD26AB6}">
  <dimension ref="A1:P14"/>
  <sheetViews>
    <sheetView tabSelected="1" workbookViewId="0">
      <selection activeCell="G8" sqref="G8"/>
    </sheetView>
  </sheetViews>
  <sheetFormatPr defaultRowHeight="14.4" x14ac:dyDescent="0.3"/>
  <cols>
    <col min="1" max="4" width="7.33203125" bestFit="1" customWidth="1"/>
    <col min="6" max="6" width="12" bestFit="1" customWidth="1"/>
    <col min="8" max="8" width="7.109375" customWidth="1"/>
    <col min="9" max="9" width="10.6640625" customWidth="1"/>
    <col min="10" max="13" width="11.6640625" customWidth="1"/>
    <col min="14" max="15" width="12.6640625" customWidth="1"/>
  </cols>
  <sheetData>
    <row r="1" spans="1:16" ht="15" thickBot="1" x14ac:dyDescent="0.35">
      <c r="A1" s="9" t="s">
        <v>5</v>
      </c>
      <c r="B1" s="9" t="s">
        <v>1</v>
      </c>
      <c r="C1" s="9"/>
      <c r="D1" s="9"/>
      <c r="E1" s="9"/>
      <c r="F1" s="12" t="s">
        <v>7</v>
      </c>
      <c r="H1" t="s">
        <v>0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20</v>
      </c>
      <c r="O1" t="s">
        <v>19</v>
      </c>
      <c r="P1" t="s">
        <v>21</v>
      </c>
    </row>
    <row r="2" spans="1:16" ht="15" thickTop="1" x14ac:dyDescent="0.3">
      <c r="A2" s="9" t="s">
        <v>2</v>
      </c>
      <c r="B2">
        <v>66</v>
      </c>
      <c r="C2">
        <v>7</v>
      </c>
      <c r="D2">
        <v>0</v>
      </c>
      <c r="E2" s="13"/>
      <c r="F2" s="11">
        <f>SUM(B2:D2)</f>
        <v>73</v>
      </c>
      <c r="H2" s="6">
        <v>1</v>
      </c>
      <c r="I2" s="1">
        <v>6.6928999999999998</v>
      </c>
      <c r="J2">
        <v>3.8148599999999999</v>
      </c>
      <c r="K2">
        <v>2.4146399999999999</v>
      </c>
      <c r="L2">
        <v>2.3239000000000001</v>
      </c>
      <c r="M2">
        <v>2.4201700000000002</v>
      </c>
      <c r="N2">
        <v>2.4212099999999999</v>
      </c>
      <c r="O2" s="3">
        <v>2.5518900000000002</v>
      </c>
      <c r="P2">
        <v>4.62</v>
      </c>
    </row>
    <row r="3" spans="1:16" x14ac:dyDescent="0.3">
      <c r="A3" s="9" t="s">
        <v>3</v>
      </c>
      <c r="B3">
        <v>0</v>
      </c>
      <c r="C3">
        <v>163</v>
      </c>
      <c r="D3">
        <v>14</v>
      </c>
      <c r="E3" s="13"/>
      <c r="F3" s="11">
        <f>SUM(B3:D3)</f>
        <v>177</v>
      </c>
      <c r="H3" s="7">
        <v>2</v>
      </c>
      <c r="I3" s="2">
        <v>6.8091799999999996</v>
      </c>
      <c r="J3">
        <v>3.7993800000000002</v>
      </c>
      <c r="K3">
        <v>2.34368</v>
      </c>
      <c r="L3">
        <v>2.5078100000000001</v>
      </c>
      <c r="M3">
        <v>2.2932800000000002</v>
      </c>
      <c r="N3">
        <v>2.3536000000000001</v>
      </c>
      <c r="O3" s="4">
        <v>2.47153</v>
      </c>
      <c r="P3">
        <v>4.62</v>
      </c>
    </row>
    <row r="4" spans="1:16" x14ac:dyDescent="0.3">
      <c r="A4" s="9" t="s">
        <v>4</v>
      </c>
      <c r="B4">
        <v>12</v>
      </c>
      <c r="C4">
        <v>17</v>
      </c>
      <c r="D4">
        <v>1471</v>
      </c>
      <c r="E4" s="13"/>
      <c r="F4" s="11">
        <f>SUM(B4:D4)</f>
        <v>1500</v>
      </c>
      <c r="H4" s="8">
        <v>3</v>
      </c>
      <c r="I4" s="1">
        <v>7.0448000000000004</v>
      </c>
      <c r="J4">
        <v>4.0657899999999998</v>
      </c>
      <c r="K4">
        <v>2.6962000000000002</v>
      </c>
      <c r="L4">
        <v>2.9604900000000001</v>
      </c>
      <c r="M4">
        <v>2.5538500000000002</v>
      </c>
      <c r="N4">
        <v>2.48224</v>
      </c>
      <c r="O4" s="5">
        <v>2.6112700000000002</v>
      </c>
      <c r="P4">
        <v>4.6900000000000004</v>
      </c>
    </row>
    <row r="5" spans="1:16" x14ac:dyDescent="0.3">
      <c r="A5" s="9"/>
      <c r="B5" s="9" t="s">
        <v>2</v>
      </c>
      <c r="C5" s="9" t="s">
        <v>3</v>
      </c>
      <c r="D5" s="9" t="s">
        <v>4</v>
      </c>
      <c r="E5" s="9" t="s">
        <v>6</v>
      </c>
      <c r="F5" s="10">
        <f>SUM(F2:F4)</f>
        <v>1750</v>
      </c>
      <c r="H5" s="7">
        <v>4</v>
      </c>
      <c r="I5" s="2">
        <v>6.9404500000000002</v>
      </c>
      <c r="J5">
        <v>4.0634199999999998</v>
      </c>
      <c r="K5">
        <v>2.7157499999999999</v>
      </c>
      <c r="L5">
        <v>2.59138</v>
      </c>
      <c r="M5">
        <v>2.4961600000000002</v>
      </c>
      <c r="N5">
        <v>2.35371</v>
      </c>
      <c r="O5" s="4">
        <v>2.6559699999999999</v>
      </c>
      <c r="P5">
        <v>4.78</v>
      </c>
    </row>
    <row r="6" spans="1:16" x14ac:dyDescent="0.3">
      <c r="H6" s="8">
        <v>5</v>
      </c>
      <c r="I6" s="1">
        <v>6.7823900000000004</v>
      </c>
      <c r="J6">
        <v>3.7681499999999999</v>
      </c>
      <c r="K6">
        <v>2.4215399999999998</v>
      </c>
      <c r="L6">
        <v>2.3224100000000001</v>
      </c>
      <c r="M6">
        <v>2.27101</v>
      </c>
      <c r="N6">
        <v>2.1891400000000001</v>
      </c>
      <c r="O6" s="5">
        <v>2.4727299999999999</v>
      </c>
      <c r="P6">
        <v>4.6399999999999997</v>
      </c>
    </row>
    <row r="7" spans="1:16" ht="15" thickBot="1" x14ac:dyDescent="0.35">
      <c r="A7" s="12" t="s">
        <v>10</v>
      </c>
      <c r="B7" s="14">
        <f>B2/(B2+SUM(C2:D2))</f>
        <v>0.90410958904109584</v>
      </c>
      <c r="C7" s="14">
        <f>C3/(C3+SUM(D3,B3))</f>
        <v>0.92090395480225984</v>
      </c>
      <c r="D7" s="14">
        <f>D4/(D4+SUM(B4:C4))</f>
        <v>0.98066666666666669</v>
      </c>
      <c r="E7" s="12" t="s">
        <v>22</v>
      </c>
      <c r="F7" s="12" t="s">
        <v>13</v>
      </c>
      <c r="H7" s="7">
        <v>6</v>
      </c>
      <c r="I7" s="2">
        <v>6.69597</v>
      </c>
      <c r="J7">
        <v>3.7440899999999999</v>
      </c>
      <c r="K7">
        <v>2.3459300000000001</v>
      </c>
      <c r="L7">
        <v>2.2875800000000002</v>
      </c>
      <c r="M7">
        <v>2.2708900000000001</v>
      </c>
      <c r="N7">
        <v>2.1921900000000001</v>
      </c>
      <c r="O7" s="4">
        <v>2.3883800000000002</v>
      </c>
      <c r="P7">
        <v>4.59</v>
      </c>
    </row>
    <row r="8" spans="1:16" ht="15.6" thickTop="1" thickBot="1" x14ac:dyDescent="0.35">
      <c r="A8" s="12" t="s">
        <v>11</v>
      </c>
      <c r="B8" s="14">
        <f>B2/(B2+SUM(B3:B4))</f>
        <v>0.84615384615384615</v>
      </c>
      <c r="C8" s="14">
        <f>C3/(C3+SUM(C2,C4))</f>
        <v>0.87165775401069523</v>
      </c>
      <c r="D8" s="14">
        <f>D4/(D4+SUM(D2:D3))</f>
        <v>0.99057239057239055</v>
      </c>
      <c r="E8" s="14">
        <f>AVERAGE(B8:D8)</f>
        <v>0.90279466357897731</v>
      </c>
      <c r="F8" s="14">
        <f>(SUM(B2:B4)*B8+SUM(C2:C4)*C8+SUM(D2:D4)*D8)/SUM(B2:D4)</f>
        <v>0.97142857142857142</v>
      </c>
      <c r="H8" s="8">
        <v>7</v>
      </c>
      <c r="I8" s="1">
        <v>6.7107200000000002</v>
      </c>
      <c r="J8">
        <v>3.7326999999999999</v>
      </c>
      <c r="K8">
        <v>2.4072</v>
      </c>
      <c r="L8">
        <v>2.2688000000000001</v>
      </c>
      <c r="M8">
        <v>1.49183</v>
      </c>
      <c r="N8">
        <v>2.18194</v>
      </c>
      <c r="O8" s="5">
        <v>2.40794</v>
      </c>
      <c r="P8">
        <v>4.59</v>
      </c>
    </row>
    <row r="9" spans="1:16" ht="15.6" thickTop="1" thickBot="1" x14ac:dyDescent="0.35">
      <c r="A9" s="12" t="s">
        <v>12</v>
      </c>
      <c r="B9" s="14">
        <f>2*(B7*B8)/(B7+B8)</f>
        <v>0.8741721854304636</v>
      </c>
      <c r="C9" s="14">
        <f>2*(C7*C8)/(C7+C8)</f>
        <v>0.89560439560439564</v>
      </c>
      <c r="D9" s="14">
        <f t="shared" ref="D9" si="0">2*(D7*D8)/(D7+D8)</f>
        <v>0.9855946398659966</v>
      </c>
      <c r="H9" s="7">
        <v>8</v>
      </c>
      <c r="I9" s="2">
        <v>6.7547600000000001</v>
      </c>
      <c r="J9">
        <v>3.7547000000000001</v>
      </c>
      <c r="K9">
        <v>1.8756299999999999</v>
      </c>
      <c r="L9">
        <v>2.2620499999999999</v>
      </c>
      <c r="M9">
        <v>0.243365</v>
      </c>
      <c r="N9">
        <v>2.25298</v>
      </c>
      <c r="O9" s="4">
        <v>2.4134199999999999</v>
      </c>
      <c r="P9">
        <v>4.7</v>
      </c>
    </row>
    <row r="10" spans="1:16" ht="15" thickTop="1" x14ac:dyDescent="0.3">
      <c r="H10" s="8">
        <v>9</v>
      </c>
      <c r="I10" s="1">
        <v>6.7647199999999996</v>
      </c>
      <c r="J10">
        <v>3.75366</v>
      </c>
      <c r="K10">
        <v>0.52231000000000005</v>
      </c>
      <c r="L10">
        <v>0.62975700000000001</v>
      </c>
      <c r="M10">
        <v>0.34354400000000002</v>
      </c>
      <c r="N10">
        <v>2.19103</v>
      </c>
      <c r="O10" s="5">
        <v>2.42882</v>
      </c>
      <c r="P10">
        <v>4.5599999999999996</v>
      </c>
    </row>
    <row r="11" spans="1:16" x14ac:dyDescent="0.3">
      <c r="H11" s="7">
        <v>10</v>
      </c>
      <c r="I11" s="2">
        <v>6.7447100000000004</v>
      </c>
      <c r="J11">
        <v>3.7949099999999998</v>
      </c>
      <c r="K11">
        <v>2.5097700000000001</v>
      </c>
      <c r="L11">
        <v>0.25906000000000001</v>
      </c>
      <c r="M11">
        <v>1.95322</v>
      </c>
      <c r="N11">
        <v>1.8213699999999999</v>
      </c>
      <c r="O11" s="4">
        <v>2.15977</v>
      </c>
      <c r="P11">
        <v>4.58</v>
      </c>
    </row>
    <row r="12" spans="1:16" ht="15" thickBot="1" x14ac:dyDescent="0.35">
      <c r="H12" s="12" t="s">
        <v>8</v>
      </c>
      <c r="I12" s="14">
        <f>MEDIAN(Table1[1 Thread])</f>
        <v>6.7597399999999999</v>
      </c>
      <c r="J12" s="14">
        <f>MEDIAN(Table1[2 Threads])</f>
        <v>3.7815300000000001</v>
      </c>
      <c r="K12" s="14">
        <f>MEDIAN(Table1[4 Threads])</f>
        <v>2.41092</v>
      </c>
      <c r="L12" s="14">
        <f>MEDIAN(Table1[6 Threads])</f>
        <v>2.3049949999999999</v>
      </c>
      <c r="M12" s="14">
        <f>MEDIAN(Table1[8 Threads])</f>
        <v>2.27095</v>
      </c>
      <c r="N12" s="14">
        <f>MEDIAN(Table1[10 Threads])</f>
        <v>2.222585</v>
      </c>
      <c r="O12" s="14">
        <f>MEDIAN(Table1[12 Threads])</f>
        <v>2.4501749999999998</v>
      </c>
      <c r="P12" s="14">
        <f>MEDIAN(Table1[Pytorch])</f>
        <v>4.62</v>
      </c>
    </row>
    <row r="13" spans="1:16" ht="15.6" thickTop="1" thickBot="1" x14ac:dyDescent="0.35">
      <c r="H13" s="12" t="s">
        <v>9</v>
      </c>
      <c r="I13" s="14">
        <f>AVERAGE(Table1[1 Thread])</f>
        <v>6.79406</v>
      </c>
      <c r="J13" s="14">
        <f>AVERAGE(Table1[2 Threads])</f>
        <v>3.8291659999999998</v>
      </c>
      <c r="K13" s="14">
        <f>AVERAGE(Table1[4 Threads])</f>
        <v>2.2252649999999998</v>
      </c>
      <c r="L13" s="14">
        <f>AVERAGE(Table1[6 Threads])</f>
        <v>2.0413237000000004</v>
      </c>
      <c r="M13" s="14">
        <f>AVERAGE(Table1[8 Threads])</f>
        <v>1.8337319000000001</v>
      </c>
      <c r="N13" s="14">
        <f>AVERAGE(Table1[10 Threads])</f>
        <v>2.2439410000000004</v>
      </c>
      <c r="O13" s="14">
        <f>AVERAGE(Table1[12 Threads])</f>
        <v>2.456172</v>
      </c>
      <c r="P13" s="14">
        <f>AVERAGE(Table1[Pytorch])</f>
        <v>4.6370000000000005</v>
      </c>
    </row>
    <row r="14" spans="1:16" ht="15" thickTop="1" x14ac:dyDescent="0.3"/>
  </sheetData>
  <conditionalFormatting sqref="B2:D2">
    <cfRule type="colorScale" priority="9">
      <colorScale>
        <cfvo type="num" val="0"/>
        <cfvo type="percentile" val="50"/>
        <cfvo type="num" val="$F$2"/>
        <color rgb="FFF8696B"/>
        <color rgb="FFFFEB84"/>
        <color rgb="FF63BE7B"/>
      </colorScale>
    </cfRule>
    <cfRule type="colorScale" priority="11">
      <colorScale>
        <cfvo type="num" val="0"/>
        <cfvo type="percentile" val="50"/>
        <cfvo type="num" val="&quot;0+$J$2&quot;"/>
        <color rgb="FFF8696B"/>
        <color rgb="FFFFEB84"/>
        <color rgb="FF63BE7B"/>
      </colorScale>
    </cfRule>
  </conditionalFormatting>
  <conditionalFormatting sqref="B2:D4">
    <cfRule type="colorScale" priority="15">
      <colorScale>
        <cfvo type="num" val="0"/>
        <cfvo type="percentile" val="50"/>
        <cfvo type="num" val="$F$2"/>
        <color theme="5"/>
        <color rgb="FFFFEB84"/>
        <color theme="6" tint="0.39997558519241921"/>
      </colorScale>
    </cfRule>
  </conditionalFormatting>
  <conditionalFormatting sqref="B3:D3">
    <cfRule type="colorScale" priority="10">
      <colorScale>
        <cfvo type="num" val="0"/>
        <cfvo type="percentile" val="50"/>
        <cfvo type="num" val="$F$3"/>
        <color rgb="FFF8696B"/>
        <color rgb="FFFFEB84"/>
        <color rgb="FF63BE7B"/>
      </colorScale>
    </cfRule>
    <cfRule type="colorScale" priority="12">
      <colorScale>
        <cfvo type="num" val="0"/>
        <cfvo type="percentile" val="50"/>
        <cfvo type="num" val="$F$3"/>
        <color rgb="FFF8696B"/>
        <color rgb="FFFFEB84"/>
        <color rgb="FF63BE7B"/>
      </colorScale>
    </cfRule>
    <cfRule type="colorScale" priority="14">
      <colorScale>
        <cfvo type="num" val="0"/>
        <cfvo type="num" val="$F$3"/>
        <color rgb="FFFF7128"/>
        <color rgb="FFFFEF9C"/>
      </colorScale>
    </cfRule>
  </conditionalFormatting>
  <conditionalFormatting sqref="B4:D4">
    <cfRule type="colorScale" priority="13">
      <colorScale>
        <cfvo type="num" val="0"/>
        <cfvo type="percentile" val="50"/>
        <cfvo type="num" val="$F$4"/>
        <color rgb="FFF8696B"/>
        <color rgb="FFFFEB84"/>
        <color rgb="FF63BE7B"/>
      </colorScale>
    </cfRule>
  </conditionalFormatting>
  <conditionalFormatting sqref="B7:D9">
    <cfRule type="colorScale" priority="8">
      <colorScale>
        <cfvo type="percent" val="0"/>
        <cfvo type="percentile" val="50"/>
        <cfvo type="percent" val="100"/>
        <color rgb="FFF8696B"/>
        <color rgb="FFFFEB84"/>
        <color rgb="FF63BE7B"/>
      </colorScale>
    </cfRule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8:F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  <cfRule type="colorScale" priority="5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I12:P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theme="9" tint="0.39997558519241921"/>
        <color rgb="FFFFEB84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C989D14D3324E80EF5715CD6EFF11" ma:contentTypeVersion="13" ma:contentTypeDescription="Create a new document." ma:contentTypeScope="" ma:versionID="8eec08e1d031eb11d88e20b98489393d">
  <xsd:schema xmlns:xsd="http://www.w3.org/2001/XMLSchema" xmlns:xs="http://www.w3.org/2001/XMLSchema" xmlns:p="http://schemas.microsoft.com/office/2006/metadata/properties" xmlns:ns3="74d7a7df-f296-4ed0-a7d9-b6d3bbeb6f3f" xmlns:ns4="ac8ffd42-70eb-4474-ba39-38a9e2d27a04" targetNamespace="http://schemas.microsoft.com/office/2006/metadata/properties" ma:root="true" ma:fieldsID="b6544236701d4ae1eb0f22c3186e6e96" ns3:_="" ns4:_="">
    <xsd:import namespace="74d7a7df-f296-4ed0-a7d9-b6d3bbeb6f3f"/>
    <xsd:import namespace="ac8ffd42-70eb-4474-ba39-38a9e2d27a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7a7df-f296-4ed0-a7d9-b6d3bbeb6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ffd42-70eb-4474-ba39-38a9e2d27a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7a7df-f296-4ed0-a7d9-b6d3bbeb6f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9C9D99-6473-4E22-9C99-95A113007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7a7df-f296-4ed0-a7d9-b6d3bbeb6f3f"/>
    <ds:schemaRef ds:uri="ac8ffd42-70eb-4474-ba39-38a9e2d27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463F2-31DB-4D10-A4E1-44F807511C3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c8ffd42-70eb-4474-ba39-38a9e2d27a04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74d7a7df-f296-4ed0-a7d9-b6d3bbeb6f3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F068DE6-42AB-43EF-89FB-010DBF96C8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Justin Eubank</dc:creator>
  <cp:lastModifiedBy>Thomas Justin Eubank</cp:lastModifiedBy>
  <dcterms:created xsi:type="dcterms:W3CDTF">2026-04-16T23:56:13Z</dcterms:created>
  <dcterms:modified xsi:type="dcterms:W3CDTF">2026-04-28T01:41:04Z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2ddfa3-f04e-4aa0-a6ac-18ea78752d25_Enabled">
    <vt:lpwstr>true</vt:lpwstr>
  </property>
  <property fmtid="{D5CDD505-2E9C-101B-9397-08002B2CF9AE}" pid="3" name="MSIP_Label_a42ddfa3-f04e-4aa0-a6ac-18ea78752d25_SetDate">
    <vt:lpwstr>2026-04-16T23:56:15Z</vt:lpwstr>
  </property>
  <property fmtid="{D5CDD505-2E9C-101B-9397-08002B2CF9AE}" pid="4" name="MSIP_Label_a42ddfa3-f04e-4aa0-a6ac-18ea78752d25_Method">
    <vt:lpwstr>Standard</vt:lpwstr>
  </property>
  <property fmtid="{D5CDD505-2E9C-101B-9397-08002B2CF9AE}" pid="5" name="MSIP_Label_a42ddfa3-f04e-4aa0-a6ac-18ea78752d25_Name">
    <vt:lpwstr>defa4170-0d19-0005-0004-bc88714345d2</vt:lpwstr>
  </property>
  <property fmtid="{D5CDD505-2E9C-101B-9397-08002B2CF9AE}" pid="6" name="MSIP_Label_a42ddfa3-f04e-4aa0-a6ac-18ea78752d25_SiteId">
    <vt:lpwstr>6135a844-853b-4b8c-9020-ae7f7ccf6c22</vt:lpwstr>
  </property>
  <property fmtid="{D5CDD505-2E9C-101B-9397-08002B2CF9AE}" pid="7" name="MSIP_Label_a42ddfa3-f04e-4aa0-a6ac-18ea78752d25_ActionId">
    <vt:lpwstr>cea50dc3-67a5-4569-be28-b911cb2baa67</vt:lpwstr>
  </property>
  <property fmtid="{D5CDD505-2E9C-101B-9397-08002B2CF9AE}" pid="8" name="MSIP_Label_a42ddfa3-f04e-4aa0-a6ac-18ea78752d25_ContentBits">
    <vt:lpwstr>0</vt:lpwstr>
  </property>
  <property fmtid="{D5CDD505-2E9C-101B-9397-08002B2CF9AE}" pid="9" name="MSIP_Label_a42ddfa3-f04e-4aa0-a6ac-18ea78752d25_Tag">
    <vt:lpwstr>10, 3, 0, 1</vt:lpwstr>
  </property>
  <property fmtid="{D5CDD505-2E9C-101B-9397-08002B2CF9AE}" pid="10" name="ContentTypeId">
    <vt:lpwstr>0x0101008FEC989D14D3324E80EF5715CD6EFF11</vt:lpwstr>
  </property>
</Properties>
</file>